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elliehanohano/Desktop/"/>
    </mc:Choice>
  </mc:AlternateContent>
  <xr:revisionPtr revIDLastSave="0" documentId="8_{4D8DE494-B5E7-C64E-894D-9CCBB6F94EFC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FX Hedge Model" sheetId="1" r:id="rId1"/>
    <sheet name="Notes &amp; Assumptions" sheetId="2" r:id="rId2"/>
  </sheets>
  <definedNames>
    <definedName name="F0_in">'FX Hedge Model'!$B$8</definedName>
    <definedName name="FC_AMT">'FX Hedge Model'!$B$6</definedName>
    <definedName name="K_CALL">'FX Hedge Model'!$B$13</definedName>
    <definedName name="K_PUT">'FX Hedge Model'!$B$11</definedName>
    <definedName name="PREM_CALL">'FX Hedge Model'!$B$14</definedName>
    <definedName name="PREM_PUT">'FX Hedge Model'!$B$12</definedName>
    <definedName name="R_FC">'FX Hedge Model'!$B$10</definedName>
    <definedName name="R_USD">'FX Hedge Model'!$B$9</definedName>
    <definedName name="S0_in">'FX Hedge Model'!$B$7</definedName>
    <definedName name="T_DAYS">'FX Hedge Model'!$B$15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5" i="1" l="1"/>
  <c r="B76" i="1"/>
  <c r="B77" i="1"/>
  <c r="B78" i="1"/>
  <c r="C49" i="1"/>
  <c r="A49" i="1"/>
  <c r="A48" i="1"/>
  <c r="C48" i="1" s="1"/>
  <c r="A47" i="1"/>
  <c r="C47" i="1" s="1"/>
  <c r="D46" i="1"/>
  <c r="A46" i="1"/>
  <c r="F46" i="1" s="1"/>
  <c r="A45" i="1"/>
  <c r="F45" i="1" s="1"/>
  <c r="D44" i="1"/>
  <c r="C44" i="1"/>
  <c r="A44" i="1"/>
  <c r="A43" i="1"/>
  <c r="F43" i="1" s="1"/>
  <c r="F42" i="1"/>
  <c r="A42" i="1"/>
  <c r="C42" i="1" s="1"/>
  <c r="D41" i="1"/>
  <c r="C41" i="1"/>
  <c r="A41" i="1"/>
  <c r="A40" i="1"/>
  <c r="F40" i="1" s="1"/>
  <c r="A39" i="1"/>
  <c r="C39" i="1" s="1"/>
  <c r="B34" i="1"/>
  <c r="B35" i="1" s="1"/>
  <c r="C33" i="1"/>
  <c r="B33" i="1"/>
  <c r="F41" i="1" s="1"/>
  <c r="B21" i="1"/>
  <c r="D47" i="1" s="1"/>
  <c r="B17" i="1"/>
  <c r="B16" i="1"/>
  <c r="B26" i="1" s="1"/>
  <c r="B27" i="1" s="1"/>
  <c r="B28" i="1" s="1"/>
  <c r="E42" i="1" l="1"/>
  <c r="E43" i="1"/>
  <c r="E46" i="1"/>
  <c r="E49" i="1"/>
  <c r="E41" i="1"/>
  <c r="E45" i="1"/>
  <c r="E40" i="1"/>
  <c r="E47" i="1"/>
  <c r="E48" i="1"/>
  <c r="E44" i="1"/>
  <c r="E39" i="1"/>
  <c r="B29" i="1"/>
  <c r="D49" i="1"/>
  <c r="F39" i="1"/>
  <c r="C46" i="1"/>
  <c r="F47" i="1"/>
  <c r="C43" i="1"/>
  <c r="C40" i="1"/>
  <c r="F49" i="1"/>
  <c r="C45" i="1"/>
  <c r="D45" i="1"/>
  <c r="D42" i="1"/>
  <c r="F48" i="1"/>
  <c r="F44" i="1"/>
  <c r="D43" i="1"/>
  <c r="B22" i="1"/>
  <c r="D40" i="1"/>
  <c r="D48" i="1"/>
  <c r="D39" i="1"/>
</calcChain>
</file>

<file path=xl/sharedStrings.xml><?xml version="1.0" encoding="utf-8"?>
<sst xmlns="http://schemas.openxmlformats.org/spreadsheetml/2006/main" count="149" uniqueCount="144">
  <si>
    <t>FX RECEIVABLE HEDGE ANALYSIS</t>
  </si>
  <si>
    <t>Stage 2 – Excel Model Build  |  FIN-321 International Finance</t>
  </si>
  <si>
    <t>① INPUTS  (Yellow = Editable)</t>
  </si>
  <si>
    <t>Variable</t>
  </si>
  <si>
    <t>Value</t>
  </si>
  <si>
    <t>Units / Notes</t>
  </si>
  <si>
    <t>FC Amount Receivable</t>
  </si>
  <si>
    <t>EUR</t>
  </si>
  <si>
    <t>Spot Rate (USD/EUR) – S₀</t>
  </si>
  <si>
    <t>USD per EUR</t>
  </si>
  <si>
    <t>90-Day Forward Rate – F₀</t>
  </si>
  <si>
    <t>USD per EUR (quoted by bank)</t>
  </si>
  <si>
    <t>USD Annual Interest Rate</t>
  </si>
  <si>
    <t>Risk-free / MM invest rate</t>
  </si>
  <si>
    <t>EUR Annual Interest Rate</t>
  </si>
  <si>
    <t>EUR borrow rate for MM hedge</t>
  </si>
  <si>
    <t>Put Strike Price – K_PUT</t>
  </si>
  <si>
    <t>USD per EUR (ATM-ish put)</t>
  </si>
  <si>
    <t>Put Premium per EUR – PREM_PUT</t>
  </si>
  <si>
    <t>Call Strike Price – K_CALL</t>
  </si>
  <si>
    <t>USD per EUR (reference only)</t>
  </si>
  <si>
    <t>Call Premium per EUR – PREM_CALL</t>
  </si>
  <si>
    <t>Days to Settlement – T_DAYS</t>
  </si>
  <si>
    <t>Days (= 90/360 year fraction)</t>
  </si>
  <si>
    <t>Time Fraction (T/360) – derived</t>
  </si>
  <si>
    <t>Years; assumed 30/360 convention</t>
  </si>
  <si>
    <t>USD Value at Spot (unhedged if S_T = S₀)</t>
  </si>
  <si>
    <t>② FORWARD HEDGE</t>
  </si>
  <si>
    <t>Step</t>
  </si>
  <si>
    <t>Value (USD)</t>
  </si>
  <si>
    <t>Formula / Note</t>
  </si>
  <si>
    <t>Locked-in USD Proceeds</t>
  </si>
  <si>
    <t>FC_AMT × F₀</t>
  </si>
  <si>
    <t>Gain / (Loss) vs. Spot Value</t>
  </si>
  <si>
    <t>Positive = forward better than today's spot</t>
  </si>
  <si>
    <t>③ MONEY MARKET HEDGE</t>
  </si>
  <si>
    <t>Step 1 – EUR to Borrow Today (PV of FC receivable)</t>
  </si>
  <si>
    <t>FC_AMT / (1 + R_FC × T)</t>
  </si>
  <si>
    <t>Step 2 – Convert to USD at Spot (S₀)</t>
  </si>
  <si>
    <t>EUR Borrowed × S₀</t>
  </si>
  <si>
    <t>Step 3 – Invest USD; Terminal Value (MM Proceeds)</t>
  </si>
  <si>
    <t>USD Converted × (1 + R_USD × T)</t>
  </si>
  <si>
    <t>Parity Check: MM vs. Forward (should be ≈ 0)</t>
  </si>
  <si>
    <t>Interest-rate parity → should be near zero</t>
  </si>
  <si>
    <t>④ OPTION HEDGES  (at a reference S_T = S₀)</t>
  </si>
  <si>
    <t>Item</t>
  </si>
  <si>
    <t>Put Hedge</t>
  </si>
  <si>
    <t>Call Hedge (ref)</t>
  </si>
  <si>
    <t>Units</t>
  </si>
  <si>
    <t>Note</t>
  </si>
  <si>
    <t>Total Premium Cost (USD)</t>
  </si>
  <si>
    <t>USD</t>
  </si>
  <si>
    <t>Paid upfront; reduces net proceeds</t>
  </si>
  <si>
    <t>Put Payoff at S_T = S₀</t>
  </si>
  <si>
    <t>N/A – put only</t>
  </si>
  <si>
    <t>FC_AMT × MAX(K_PUT – S_T, 0)</t>
  </si>
  <si>
    <t>Net USD Proceeds (Put Hedge) at S_T = S₀</t>
  </si>
  <si>
    <t>FC × S_T + Payoff – Premium</t>
  </si>
  <si>
    <t>⑤ SENSITIVITY ANALYSIS  (S_T varies ±5% around S₀)</t>
  </si>
  <si>
    <t>S_T (USD/EUR)</t>
  </si>
  <si>
    <t>% Δ from S₀</t>
  </si>
  <si>
    <t>Unhedged (USD)</t>
  </si>
  <si>
    <t>Forward (USD)</t>
  </si>
  <si>
    <t>MM Hedge (USD)</t>
  </si>
  <si>
    <t>Put Hedge (USD)</t>
  </si>
  <si>
    <t>⑥ SUMMARY OUTPUT  (Gray = Key Results)</t>
  </si>
  <si>
    <t>Strategy</t>
  </si>
  <si>
    <t>USD Proceeds</t>
  </si>
  <si>
    <t>Notes</t>
  </si>
  <si>
    <t>Unhedged (at current S₀)</t>
  </si>
  <si>
    <t>Baseline; fully exposed to FX movement</t>
  </si>
  <si>
    <t>Forward Hedge</t>
  </si>
  <si>
    <t>Locked-in; no FX risk</t>
  </si>
  <si>
    <t>Money Market Hedge</t>
  </si>
  <si>
    <t>Should ≈ Forward (IRP parity)</t>
  </si>
  <si>
    <t>Put Hedge (S_T = S₀, at-money)</t>
  </si>
  <si>
    <t>Floor protected; upside retained minus premium</t>
  </si>
  <si>
    <t>→ Recommended Strategy (Stage 4)</t>
  </si>
  <si>
    <t>TBD</t>
  </si>
  <si>
    <t>To be filled in after Stage 4 analysis</t>
  </si>
  <si>
    <t>NOTES &amp; ASSUMPTIONS</t>
  </si>
  <si>
    <t>Color Coding Convention</t>
  </si>
  <si>
    <t xml:space="preserve">  Yellow</t>
  </si>
  <si>
    <t>Editable input cells</t>
  </si>
  <si>
    <t xml:space="preserve">  Blue fill</t>
  </si>
  <si>
    <t>Assumption / derived scenario variable</t>
  </si>
  <si>
    <t xml:space="preserve">  Green fill</t>
  </si>
  <si>
    <t>Intermediate formula cell</t>
  </si>
  <si>
    <t xml:space="preserve">  Gray fill</t>
  </si>
  <si>
    <t>Summary output / KPI</t>
  </si>
  <si>
    <t xml:space="preserve">  Blue text</t>
  </si>
  <si>
    <t>Hardcoded input value (financial model convention)</t>
  </si>
  <si>
    <t>Assumptions &amp; Simplifications</t>
  </si>
  <si>
    <t>Settlement Date</t>
  </si>
  <si>
    <t>June 25, 2026 (~90 days from March 27, 2026)</t>
  </si>
  <si>
    <t>Day Count</t>
  </si>
  <si>
    <t>30/360 convention used for all interest accruals (T = 90/360 = 0.25)</t>
  </si>
  <si>
    <t>Spot Rate S₀</t>
  </si>
  <si>
    <t>1.0850 USD/EUR – Bloomberg mid-market as of March 27, 2026 (indicative)</t>
  </si>
  <si>
    <t>Forward Rate F₀</t>
  </si>
  <si>
    <t>1.0780 USD/EUR – bank-quoted 90-day outright forward (indicative)</t>
  </si>
  <si>
    <t>USD Rate R_USD</t>
  </si>
  <si>
    <t>5.30% p.a. – approximate 3-month Treasury / MM rate</t>
  </si>
  <si>
    <t>EUR Rate R_FC</t>
  </si>
  <si>
    <t>3.50% p.a. – approximate ECB rate / EUR EURIBOR 3M</t>
  </si>
  <si>
    <t>Put Strike K_PUT</t>
  </si>
  <si>
    <t>1.0700 USD/EUR – slightly OTM put; provides floor below current forward</t>
  </si>
  <si>
    <t>Put Premium</t>
  </si>
  <si>
    <t>$0.0210/EUR – indicative quote; actual premium subject to IV and bid-ask</t>
  </si>
  <si>
    <t>Call Strike K_CALL</t>
  </si>
  <si>
    <t>1.0900 USD/EUR – reference only (not a core hedge strategy here)</t>
  </si>
  <si>
    <t>Call Premium</t>
  </si>
  <si>
    <t>$0.0195/EUR – reference only</t>
  </si>
  <si>
    <t>Bid-Ask Spreads</t>
  </si>
  <si>
    <t>Ignored in this model for simplicity; real execution will widen costs</t>
  </si>
  <si>
    <t>Option Style</t>
  </si>
  <si>
    <t>European-style assumed (exercised only at expiry)</t>
  </si>
  <si>
    <t>Credit / Counterparty Risk</t>
  </si>
  <si>
    <t>Not modeled; assumed AAA-rated banking counterparty</t>
  </si>
  <si>
    <t>Transaction Costs</t>
  </si>
  <si>
    <t>Not modeled; assumed negligible relative to notional</t>
  </si>
  <si>
    <t>Receivable Certainty</t>
  </si>
  <si>
    <t>100% assumed; no default/delay risk on the EUR receivable</t>
  </si>
  <si>
    <t>Tax Effects</t>
  </si>
  <si>
    <t>Not modeled; pre-tax analysis only</t>
  </si>
  <si>
    <t>Model Limitations</t>
  </si>
  <si>
    <t>Forward ≈ MM parity</t>
  </si>
  <si>
    <t>Minor deviation possible due to rounding of interest rate inputs</t>
  </si>
  <si>
    <t>Static model</t>
  </si>
  <si>
    <t>Does not simulate stochastic rate paths; Stage 3 may extend to Monte Carlo</t>
  </si>
  <si>
    <t>Named Ranges</t>
  </si>
  <si>
    <t>Key inputs defined as named ranges: FC_AMT, S0_in, F0_in, R_USD, R_FC, K_PUT, PREM_PUT, K_CALL, PREM_CALL, T_DAYS</t>
  </si>
  <si>
    <t>Next Steps</t>
  </si>
  <si>
    <t>Stage 3</t>
  </si>
  <si>
    <t>Formal technical specification documenting model logic and design improvements</t>
  </si>
  <si>
    <t>Stage 4</t>
  </si>
  <si>
    <t>Final hedge recommendation using model outputs; structured AI prompt; CFO presentation</t>
  </si>
  <si>
    <t>Sources</t>
  </si>
  <si>
    <t>Market data</t>
  </si>
  <si>
    <t>Federal Reserve H.10 release; ECB reference rates; Bloomberg indicative quotes</t>
  </si>
  <si>
    <t>Theory</t>
  </si>
  <si>
    <t>Madura, J. (2021). International Financial Management (14th ed.). Cengage Learning.</t>
  </si>
  <si>
    <t>Course context</t>
  </si>
  <si>
    <t>FIN-321 International Finance, Shidler College of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</si>
</sst>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000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Times New Roman"/>
      <family val="1"/>
    </font>
    <font>
      <i/>
      <sz val="9"/>
      <color rgb="FF555555"/>
      <name val="Times New Roman"/>
      <family val="1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sz val="10"/>
      <color rgb="FF0000FF"/>
      <name val="Times New Roman"/>
      <family val="1"/>
    </font>
    <font>
      <i/>
      <sz val="9"/>
      <color rgb="FF666666"/>
      <name val="Times New Roman"/>
      <family val="1"/>
    </font>
    <font>
      <i/>
      <sz val="9"/>
      <color rgb="FF888888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b/>
      <sz val="13"/>
      <color rgb="FFFFFFFF"/>
      <name val="Times New Roman"/>
      <family val="1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D2137"/>
        <bgColor rgb="FF1F3864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AEEF3"/>
      </patternFill>
    </fill>
    <fill>
      <patternFill patternType="solid">
        <fgColor rgb="FFDAEEF3"/>
        <bgColor rgb="FFE2EFDA"/>
      </patternFill>
    </fill>
    <fill>
      <patternFill patternType="solid">
        <fgColor rgb="FFD9D9D9"/>
        <bgColor rgb="FFCCCC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indent="1"/>
    </xf>
    <xf numFmtId="164" fontId="7" fillId="5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 indent="1"/>
    </xf>
    <xf numFmtId="165" fontId="7" fillId="5" borderId="1" xfId="0" applyNumberFormat="1" applyFont="1" applyFill="1" applyBorder="1" applyAlignment="1">
      <alignment horizontal="right" vertical="center"/>
    </xf>
    <xf numFmtId="10" fontId="7" fillId="5" borderId="1" xfId="0" applyNumberFormat="1" applyFont="1" applyFill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0" fontId="8" fillId="0" borderId="0" xfId="0" applyFont="1"/>
    <xf numFmtId="164" fontId="6" fillId="6" borderId="1" xfId="0" applyNumberFormat="1" applyFont="1" applyFill="1" applyBorder="1" applyAlignment="1">
      <alignment horizontal="right" vertical="center"/>
    </xf>
    <xf numFmtId="4" fontId="6" fillId="6" borderId="1" xfId="0" applyNumberFormat="1" applyFont="1" applyFill="1" applyBorder="1" applyAlignment="1">
      <alignment horizontal="right" vertical="center"/>
    </xf>
    <xf numFmtId="0" fontId="6" fillId="0" borderId="0" xfId="0" applyFont="1"/>
    <xf numFmtId="0" fontId="9" fillId="0" borderId="0" xfId="0" applyFont="1"/>
    <xf numFmtId="165" fontId="6" fillId="7" borderId="1" xfId="0" applyNumberFormat="1" applyFont="1" applyFill="1" applyBorder="1" applyAlignment="1">
      <alignment horizontal="right" vertical="center"/>
    </xf>
    <xf numFmtId="10" fontId="6" fillId="7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 indent="1"/>
    </xf>
    <xf numFmtId="164" fontId="10" fillId="8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164" fontId="11" fillId="8" borderId="1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13" fillId="0" borderId="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D2137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zoomScaleNormal="100" workbookViewId="0">
      <selection activeCell="E81" sqref="E81"/>
    </sheetView>
  </sheetViews>
  <sheetFormatPr baseColWidth="10" defaultColWidth="8.6640625" defaultRowHeight="15" x14ac:dyDescent="0.2"/>
  <cols>
    <col min="1" max="1" width="32" customWidth="1"/>
    <col min="2" max="6" width="18" customWidth="1"/>
    <col min="7" max="7" width="5" customWidth="1"/>
  </cols>
  <sheetData>
    <row r="1" spans="1:6" ht="30" customHeight="1" x14ac:dyDescent="0.2">
      <c r="A1" s="1" t="s">
        <v>0</v>
      </c>
      <c r="B1" s="1"/>
      <c r="C1" s="1"/>
      <c r="D1" s="1"/>
      <c r="E1" s="1"/>
      <c r="F1" s="1"/>
    </row>
    <row r="2" spans="1:6" ht="13.5" customHeight="1" x14ac:dyDescent="0.2">
      <c r="A2" s="2" t="s">
        <v>1</v>
      </c>
      <c r="B2" s="2"/>
      <c r="C2" s="2"/>
      <c r="D2" s="2"/>
      <c r="E2" s="2"/>
      <c r="F2" s="2"/>
    </row>
    <row r="3" spans="1:6" x14ac:dyDescent="0.2">
      <c r="A3" s="3"/>
      <c r="B3" s="3"/>
      <c r="C3" s="3"/>
      <c r="D3" s="3"/>
      <c r="E3" s="3"/>
      <c r="F3" s="3"/>
    </row>
    <row r="4" spans="1:6" ht="18" customHeight="1" x14ac:dyDescent="0.2">
      <c r="A4" s="4" t="s">
        <v>2</v>
      </c>
      <c r="B4" s="4"/>
      <c r="C4" s="4"/>
      <c r="D4" s="4"/>
      <c r="E4" s="4"/>
      <c r="F4" s="4"/>
    </row>
    <row r="5" spans="1:6" ht="30" customHeight="1" x14ac:dyDescent="0.2">
      <c r="A5" s="5" t="s">
        <v>3</v>
      </c>
      <c r="B5" s="5" t="s">
        <v>4</v>
      </c>
      <c r="C5" s="5" t="s">
        <v>5</v>
      </c>
      <c r="D5" s="3"/>
      <c r="E5" s="3"/>
      <c r="F5" s="3"/>
    </row>
    <row r="6" spans="1:6" ht="15" customHeight="1" x14ac:dyDescent="0.2">
      <c r="A6" s="6" t="s">
        <v>6</v>
      </c>
      <c r="B6" s="7">
        <v>2500000</v>
      </c>
      <c r="C6" s="8" t="s">
        <v>7</v>
      </c>
      <c r="D6" s="3"/>
      <c r="E6" s="3"/>
      <c r="F6" s="3"/>
    </row>
    <row r="7" spans="1:6" ht="15" customHeight="1" x14ac:dyDescent="0.2">
      <c r="A7" s="6" t="s">
        <v>8</v>
      </c>
      <c r="B7" s="9">
        <v>1.085</v>
      </c>
      <c r="C7" s="8" t="s">
        <v>9</v>
      </c>
      <c r="D7" s="3"/>
      <c r="E7" s="3"/>
      <c r="F7" s="3"/>
    </row>
    <row r="8" spans="1:6" ht="15" customHeight="1" x14ac:dyDescent="0.2">
      <c r="A8" s="6" t="s">
        <v>10</v>
      </c>
      <c r="B8" s="9">
        <v>1.0780000000000001</v>
      </c>
      <c r="C8" s="8" t="s">
        <v>11</v>
      </c>
      <c r="D8" s="3"/>
      <c r="E8" s="3"/>
      <c r="F8" s="3"/>
    </row>
    <row r="9" spans="1:6" ht="15" customHeight="1" x14ac:dyDescent="0.2">
      <c r="A9" s="6" t="s">
        <v>12</v>
      </c>
      <c r="B9" s="10">
        <v>5.2999999999999999E-2</v>
      </c>
      <c r="C9" s="8" t="s">
        <v>13</v>
      </c>
      <c r="D9" s="3"/>
      <c r="E9" s="3"/>
      <c r="F9" s="3"/>
    </row>
    <row r="10" spans="1:6" ht="15" customHeight="1" x14ac:dyDescent="0.2">
      <c r="A10" s="6" t="s">
        <v>14</v>
      </c>
      <c r="B10" s="10">
        <v>3.5000000000000003E-2</v>
      </c>
      <c r="C10" s="8" t="s">
        <v>15</v>
      </c>
      <c r="D10" s="3"/>
      <c r="E10" s="3"/>
      <c r="F10" s="3"/>
    </row>
    <row r="11" spans="1:6" ht="15" customHeight="1" x14ac:dyDescent="0.2">
      <c r="A11" s="6" t="s">
        <v>16</v>
      </c>
      <c r="B11" s="9">
        <v>1.07</v>
      </c>
      <c r="C11" s="8" t="s">
        <v>17</v>
      </c>
      <c r="D11" s="3"/>
      <c r="E11" s="3"/>
      <c r="F11" s="3"/>
    </row>
    <row r="12" spans="1:6" ht="15" customHeight="1" x14ac:dyDescent="0.2">
      <c r="A12" s="6" t="s">
        <v>18</v>
      </c>
      <c r="B12" s="9">
        <v>2.1000000000000001E-2</v>
      </c>
      <c r="C12" s="8" t="s">
        <v>9</v>
      </c>
      <c r="D12" s="3"/>
      <c r="E12" s="3"/>
      <c r="F12" s="3"/>
    </row>
    <row r="13" spans="1:6" ht="15" customHeight="1" x14ac:dyDescent="0.2">
      <c r="A13" s="6" t="s">
        <v>19</v>
      </c>
      <c r="B13" s="9">
        <v>1.0900000000000001</v>
      </c>
      <c r="C13" s="8" t="s">
        <v>20</v>
      </c>
      <c r="D13" s="3"/>
      <c r="E13" s="3"/>
      <c r="F13" s="3"/>
    </row>
    <row r="14" spans="1:6" ht="15" customHeight="1" x14ac:dyDescent="0.2">
      <c r="A14" s="6" t="s">
        <v>21</v>
      </c>
      <c r="B14" s="9">
        <v>1.95E-2</v>
      </c>
      <c r="C14" s="8" t="s">
        <v>9</v>
      </c>
      <c r="D14" s="3"/>
      <c r="E14" s="3"/>
      <c r="F14" s="3"/>
    </row>
    <row r="15" spans="1:6" ht="15" customHeight="1" x14ac:dyDescent="0.2">
      <c r="A15" s="6" t="s">
        <v>22</v>
      </c>
      <c r="B15" s="11">
        <v>90</v>
      </c>
      <c r="C15" s="8" t="s">
        <v>23</v>
      </c>
      <c r="D15" s="3"/>
      <c r="E15" s="3"/>
      <c r="F15" s="3"/>
    </row>
    <row r="16" spans="1:6" ht="15" customHeight="1" x14ac:dyDescent="0.2">
      <c r="A16" s="6" t="s">
        <v>24</v>
      </c>
      <c r="B16" s="12">
        <f>B15/360</f>
        <v>0.25</v>
      </c>
      <c r="C16" s="13" t="s">
        <v>25</v>
      </c>
      <c r="D16" s="3"/>
      <c r="E16" s="3"/>
      <c r="F16" s="3"/>
    </row>
    <row r="17" spans="1:6" ht="15" customHeight="1" x14ac:dyDescent="0.2">
      <c r="A17" s="6" t="s">
        <v>26</v>
      </c>
      <c r="B17" s="14">
        <f>B6*B7</f>
        <v>2712500</v>
      </c>
      <c r="C17" s="3"/>
      <c r="D17" s="3"/>
      <c r="E17" s="3"/>
      <c r="F17" s="3"/>
    </row>
    <row r="18" spans="1:6" x14ac:dyDescent="0.2">
      <c r="A18" s="3"/>
      <c r="B18" s="3"/>
      <c r="C18" s="3"/>
      <c r="D18" s="3"/>
      <c r="E18" s="3"/>
      <c r="F18" s="3"/>
    </row>
    <row r="19" spans="1:6" ht="18" customHeight="1" x14ac:dyDescent="0.2">
      <c r="A19" s="4" t="s">
        <v>27</v>
      </c>
      <c r="B19" s="4"/>
      <c r="C19" s="4"/>
      <c r="D19" s="4"/>
      <c r="E19" s="4"/>
      <c r="F19" s="4"/>
    </row>
    <row r="20" spans="1:6" ht="30" customHeight="1" x14ac:dyDescent="0.2">
      <c r="A20" s="5" t="s">
        <v>28</v>
      </c>
      <c r="B20" s="5" t="s">
        <v>29</v>
      </c>
      <c r="C20" s="5" t="s">
        <v>30</v>
      </c>
      <c r="D20" s="3"/>
      <c r="E20" s="3"/>
      <c r="F20" s="3"/>
    </row>
    <row r="21" spans="1:6" ht="15" customHeight="1" x14ac:dyDescent="0.2">
      <c r="A21" s="6" t="s">
        <v>31</v>
      </c>
      <c r="B21" s="14">
        <f>B6*B8</f>
        <v>2695000</v>
      </c>
      <c r="C21" s="8" t="s">
        <v>32</v>
      </c>
      <c r="D21" s="3"/>
      <c r="E21" s="3"/>
      <c r="F21" s="3"/>
    </row>
    <row r="22" spans="1:6" ht="15" customHeight="1" x14ac:dyDescent="0.2">
      <c r="A22" s="6" t="s">
        <v>33</v>
      </c>
      <c r="B22" s="14">
        <f>B21-B17</f>
        <v>-17500</v>
      </c>
      <c r="C22" s="13" t="s">
        <v>34</v>
      </c>
      <c r="D22" s="3"/>
      <c r="E22" s="3"/>
      <c r="F22" s="3"/>
    </row>
    <row r="23" spans="1:6" x14ac:dyDescent="0.2">
      <c r="A23" s="3"/>
      <c r="B23" s="3"/>
      <c r="C23" s="3"/>
      <c r="D23" s="3"/>
      <c r="E23" s="3"/>
      <c r="F23" s="3"/>
    </row>
    <row r="24" spans="1:6" ht="18" customHeight="1" x14ac:dyDescent="0.2">
      <c r="A24" s="4" t="s">
        <v>35</v>
      </c>
      <c r="B24" s="4"/>
      <c r="C24" s="4"/>
      <c r="D24" s="4"/>
      <c r="E24" s="4"/>
      <c r="F24" s="4"/>
    </row>
    <row r="25" spans="1:6" ht="30" customHeight="1" x14ac:dyDescent="0.2">
      <c r="A25" s="5" t="s">
        <v>28</v>
      </c>
      <c r="B25" s="5" t="s">
        <v>4</v>
      </c>
      <c r="C25" s="5" t="s">
        <v>30</v>
      </c>
      <c r="D25" s="3"/>
      <c r="E25" s="3"/>
      <c r="F25" s="3"/>
    </row>
    <row r="26" spans="1:6" ht="15" customHeight="1" x14ac:dyDescent="0.2">
      <c r="A26" s="6" t="s">
        <v>36</v>
      </c>
      <c r="B26" s="15">
        <f>B6/(1+B10*B16)</f>
        <v>2478314.7459727386</v>
      </c>
      <c r="C26" s="8" t="s">
        <v>37</v>
      </c>
      <c r="D26" s="3"/>
      <c r="E26" s="3"/>
      <c r="F26" s="3"/>
    </row>
    <row r="27" spans="1:6" ht="15" customHeight="1" x14ac:dyDescent="0.2">
      <c r="A27" s="6" t="s">
        <v>38</v>
      </c>
      <c r="B27" s="14">
        <f>B26*B7</f>
        <v>2688971.4993804214</v>
      </c>
      <c r="C27" s="8" t="s">
        <v>39</v>
      </c>
      <c r="D27" s="3"/>
      <c r="E27" s="3"/>
      <c r="F27" s="3"/>
    </row>
    <row r="28" spans="1:6" ht="15" customHeight="1" x14ac:dyDescent="0.2">
      <c r="A28" s="6" t="s">
        <v>40</v>
      </c>
      <c r="B28" s="14">
        <f>B27*(1+B9*B16)</f>
        <v>2724600.371747212</v>
      </c>
      <c r="C28" s="8" t="s">
        <v>41</v>
      </c>
      <c r="D28" s="3"/>
      <c r="E28" s="3"/>
      <c r="F28" s="3"/>
    </row>
    <row r="29" spans="1:6" ht="15" customHeight="1" x14ac:dyDescent="0.2">
      <c r="A29" s="6" t="s">
        <v>42</v>
      </c>
      <c r="B29" s="14">
        <f>B28-B21</f>
        <v>29600.371747212019</v>
      </c>
      <c r="C29" s="13" t="s">
        <v>43</v>
      </c>
      <c r="D29" s="3"/>
      <c r="E29" s="3"/>
      <c r="F29" s="3"/>
    </row>
    <row r="30" spans="1:6" x14ac:dyDescent="0.2">
      <c r="A30" s="3"/>
      <c r="B30" s="3"/>
      <c r="C30" s="3"/>
      <c r="D30" s="3"/>
      <c r="E30" s="3"/>
      <c r="F30" s="3"/>
    </row>
    <row r="31" spans="1:6" ht="18" customHeight="1" x14ac:dyDescent="0.2">
      <c r="A31" s="4" t="s">
        <v>44</v>
      </c>
      <c r="B31" s="4"/>
      <c r="C31" s="4"/>
      <c r="D31" s="4"/>
      <c r="E31" s="4"/>
      <c r="F31" s="4"/>
    </row>
    <row r="32" spans="1:6" ht="30" customHeight="1" x14ac:dyDescent="0.2">
      <c r="A32" s="5" t="s">
        <v>45</v>
      </c>
      <c r="B32" s="5" t="s">
        <v>46</v>
      </c>
      <c r="C32" s="5" t="s">
        <v>47</v>
      </c>
      <c r="D32" s="5" t="s">
        <v>48</v>
      </c>
      <c r="E32" s="5" t="s">
        <v>49</v>
      </c>
      <c r="F32" s="3"/>
    </row>
    <row r="33" spans="1:6" ht="15" customHeight="1" x14ac:dyDescent="0.2">
      <c r="A33" s="6" t="s">
        <v>50</v>
      </c>
      <c r="B33" s="14">
        <f>B6*B12</f>
        <v>52500</v>
      </c>
      <c r="C33" s="14">
        <f>B6*B14</f>
        <v>48750</v>
      </c>
      <c r="D33" s="16" t="s">
        <v>51</v>
      </c>
      <c r="E33" s="13" t="s">
        <v>52</v>
      </c>
      <c r="F33" s="3"/>
    </row>
    <row r="34" spans="1:6" ht="15" customHeight="1" x14ac:dyDescent="0.2">
      <c r="A34" s="6" t="s">
        <v>53</v>
      </c>
      <c r="B34" s="14">
        <f>B6*MAX(B11-B7,0)</f>
        <v>0</v>
      </c>
      <c r="C34" s="17" t="s">
        <v>54</v>
      </c>
      <c r="D34" s="3"/>
      <c r="E34" s="8" t="s">
        <v>55</v>
      </c>
      <c r="F34" s="3"/>
    </row>
    <row r="35" spans="1:6" ht="15" customHeight="1" x14ac:dyDescent="0.2">
      <c r="A35" s="6" t="s">
        <v>56</v>
      </c>
      <c r="B35" s="14">
        <f>B6*B7+B34-B33</f>
        <v>2660000</v>
      </c>
      <c r="C35" s="3"/>
      <c r="D35" s="3"/>
      <c r="E35" s="8" t="s">
        <v>57</v>
      </c>
      <c r="F35" s="3"/>
    </row>
    <row r="36" spans="1:6" x14ac:dyDescent="0.2">
      <c r="A36" s="3"/>
      <c r="B36" s="3"/>
      <c r="C36" s="3"/>
      <c r="D36" s="3"/>
      <c r="E36" s="3"/>
      <c r="F36" s="3"/>
    </row>
    <row r="37" spans="1:6" ht="18" customHeight="1" x14ac:dyDescent="0.2">
      <c r="A37" s="4" t="s">
        <v>58</v>
      </c>
      <c r="B37" s="4"/>
      <c r="C37" s="4"/>
      <c r="D37" s="4"/>
      <c r="E37" s="4"/>
      <c r="F37" s="4"/>
    </row>
    <row r="38" spans="1:6" ht="30" customHeight="1" x14ac:dyDescent="0.2">
      <c r="A38" s="5" t="s">
        <v>59</v>
      </c>
      <c r="B38" s="5" t="s">
        <v>60</v>
      </c>
      <c r="C38" s="5" t="s">
        <v>61</v>
      </c>
      <c r="D38" s="5" t="s">
        <v>62</v>
      </c>
      <c r="E38" s="5" t="s">
        <v>63</v>
      </c>
      <c r="F38" s="5" t="s">
        <v>64</v>
      </c>
    </row>
    <row r="39" spans="1:6" ht="15" customHeight="1" x14ac:dyDescent="0.2">
      <c r="A39" s="18">
        <f>B7*(1+-0.05)</f>
        <v>1.0307499999999998</v>
      </c>
      <c r="B39" s="19">
        <v>-0.05</v>
      </c>
      <c r="C39" s="14">
        <f>B6*A39</f>
        <v>2576874.9999999995</v>
      </c>
      <c r="D39" s="14">
        <f>B21</f>
        <v>2695000</v>
      </c>
      <c r="E39" s="14">
        <f>B28</f>
        <v>2724600.371747212</v>
      </c>
      <c r="F39" s="14">
        <f>B6*A39+B6*MAX(B11-A39,0)-B33</f>
        <v>2622500</v>
      </c>
    </row>
    <row r="40" spans="1:6" ht="15" customHeight="1" x14ac:dyDescent="0.2">
      <c r="A40" s="18">
        <f>B7*(1+-0.04)</f>
        <v>1.0415999999999999</v>
      </c>
      <c r="B40" s="19">
        <v>-0.04</v>
      </c>
      <c r="C40" s="14">
        <f>B6*A40</f>
        <v>2603999.9999999995</v>
      </c>
      <c r="D40" s="14">
        <f>B21</f>
        <v>2695000</v>
      </c>
      <c r="E40" s="14">
        <f>B28</f>
        <v>2724600.371747212</v>
      </c>
      <c r="F40" s="14">
        <f>B6*A40+B6*MAX(B11-A40,0)-B33</f>
        <v>2622500</v>
      </c>
    </row>
    <row r="41" spans="1:6" ht="15" customHeight="1" x14ac:dyDescent="0.2">
      <c r="A41" s="18">
        <f>B7*(1+-0.03)</f>
        <v>1.0524499999999999</v>
      </c>
      <c r="B41" s="19">
        <v>-0.03</v>
      </c>
      <c r="C41" s="14">
        <f>B6*A41</f>
        <v>2631124.9999999995</v>
      </c>
      <c r="D41" s="14">
        <f>B21</f>
        <v>2695000</v>
      </c>
      <c r="E41" s="14">
        <f>B28</f>
        <v>2724600.371747212</v>
      </c>
      <c r="F41" s="14">
        <f>B6*A41+B6*MAX(B11-A41,0)-B33</f>
        <v>2622500</v>
      </c>
    </row>
    <row r="42" spans="1:6" ht="15" customHeight="1" x14ac:dyDescent="0.2">
      <c r="A42" s="18">
        <f>B7*(1+-0.02)</f>
        <v>1.0632999999999999</v>
      </c>
      <c r="B42" s="19">
        <v>-0.02</v>
      </c>
      <c r="C42" s="14">
        <f>B6*A42</f>
        <v>2658250</v>
      </c>
      <c r="D42" s="14">
        <f>B21</f>
        <v>2695000</v>
      </c>
      <c r="E42" s="14">
        <f>B28</f>
        <v>2724600.371747212</v>
      </c>
      <c r="F42" s="14">
        <f>B6*A42+B6*MAX(B11-A42,0)-B33</f>
        <v>2622500.0000000005</v>
      </c>
    </row>
    <row r="43" spans="1:6" ht="15" customHeight="1" x14ac:dyDescent="0.2">
      <c r="A43" s="18">
        <f>B7*(1+-0.01)</f>
        <v>1.0741499999999999</v>
      </c>
      <c r="B43" s="19">
        <v>-0.01</v>
      </c>
      <c r="C43" s="14">
        <f>B6*A43</f>
        <v>2685375</v>
      </c>
      <c r="D43" s="14">
        <f>B21</f>
        <v>2695000</v>
      </c>
      <c r="E43" s="14">
        <f>B28</f>
        <v>2724600.371747212</v>
      </c>
      <c r="F43" s="14">
        <f>B6*A43+B6*MAX(B11-A43,0)-B33</f>
        <v>2632875</v>
      </c>
    </row>
    <row r="44" spans="1:6" ht="15" customHeight="1" x14ac:dyDescent="0.2">
      <c r="A44" s="18">
        <f>B7*(1+0)</f>
        <v>1.085</v>
      </c>
      <c r="B44" s="19">
        <v>0</v>
      </c>
      <c r="C44" s="14">
        <f>B6*A44</f>
        <v>2712500</v>
      </c>
      <c r="D44" s="14">
        <f>B21</f>
        <v>2695000</v>
      </c>
      <c r="E44" s="14">
        <f>B28</f>
        <v>2724600.371747212</v>
      </c>
      <c r="F44" s="14">
        <f>B6*A44+B6*MAX(B11-A44,0)-B33</f>
        <v>2660000</v>
      </c>
    </row>
    <row r="45" spans="1:6" ht="15" customHeight="1" x14ac:dyDescent="0.2">
      <c r="A45" s="18">
        <f>B7*(1+0.01)</f>
        <v>1.09585</v>
      </c>
      <c r="B45" s="19">
        <v>0.01</v>
      </c>
      <c r="C45" s="14">
        <f>B6*A45</f>
        <v>2739625</v>
      </c>
      <c r="D45" s="14">
        <f>B21</f>
        <v>2695000</v>
      </c>
      <c r="E45" s="14">
        <f>B28</f>
        <v>2724600.371747212</v>
      </c>
      <c r="F45" s="14">
        <f>B6*A45+B6*MAX(B11-A45,0)-B33</f>
        <v>2687125</v>
      </c>
    </row>
    <row r="46" spans="1:6" ht="15" customHeight="1" x14ac:dyDescent="0.2">
      <c r="A46" s="18">
        <f>B7*(1+0.02)</f>
        <v>1.1067</v>
      </c>
      <c r="B46" s="19">
        <v>0.02</v>
      </c>
      <c r="C46" s="14">
        <f>B6*A46</f>
        <v>2766750</v>
      </c>
      <c r="D46" s="14">
        <f>B21</f>
        <v>2695000</v>
      </c>
      <c r="E46" s="14">
        <f>B28</f>
        <v>2724600.371747212</v>
      </c>
      <c r="F46" s="14">
        <f>B6*A46+B6*MAX(B11-A46,0)-B33</f>
        <v>2714250</v>
      </c>
    </row>
    <row r="47" spans="1:6" ht="15" customHeight="1" x14ac:dyDescent="0.2">
      <c r="A47" s="18">
        <f>B7*(1+0.03)</f>
        <v>1.11755</v>
      </c>
      <c r="B47" s="19">
        <v>0.03</v>
      </c>
      <c r="C47" s="14">
        <f>B6*A47</f>
        <v>2793875</v>
      </c>
      <c r="D47" s="14">
        <f>B21</f>
        <v>2695000</v>
      </c>
      <c r="E47" s="14">
        <f>B28</f>
        <v>2724600.371747212</v>
      </c>
      <c r="F47" s="14">
        <f>B6*A47+B6*MAX(B11-A47,0)-B33</f>
        <v>2741375</v>
      </c>
    </row>
    <row r="48" spans="1:6" ht="15" customHeight="1" x14ac:dyDescent="0.2">
      <c r="A48" s="18">
        <f>B7*(1+0.04)</f>
        <v>1.1284000000000001</v>
      </c>
      <c r="B48" s="19">
        <v>0.04</v>
      </c>
      <c r="C48" s="14">
        <f>B6*A48</f>
        <v>2821000</v>
      </c>
      <c r="D48" s="14">
        <f>B21</f>
        <v>2695000</v>
      </c>
      <c r="E48" s="14">
        <f>B28</f>
        <v>2724600.371747212</v>
      </c>
      <c r="F48" s="14">
        <f>B6*A48+B6*MAX(B11-A48,0)-B33</f>
        <v>2768500</v>
      </c>
    </row>
    <row r="49" spans="1:6" ht="15" customHeight="1" x14ac:dyDescent="0.2">
      <c r="A49" s="18">
        <f>B7*(1+0.05)</f>
        <v>1.1392500000000001</v>
      </c>
      <c r="B49" s="19">
        <v>0.05</v>
      </c>
      <c r="C49" s="14">
        <f>B6*A49</f>
        <v>2848125.0000000005</v>
      </c>
      <c r="D49" s="14">
        <f>B21</f>
        <v>2695000</v>
      </c>
      <c r="E49" s="14">
        <f>B28</f>
        <v>2724600.371747212</v>
      </c>
      <c r="F49" s="14">
        <f>B6*A49+B6*MAX(B11-A49,0)-B33</f>
        <v>2795625.0000000005</v>
      </c>
    </row>
    <row r="50" spans="1:6" x14ac:dyDescent="0.2">
      <c r="A50" s="3"/>
      <c r="B50" s="3"/>
      <c r="C50" s="3"/>
      <c r="D50" s="3"/>
      <c r="E50" s="3"/>
      <c r="F50" s="3"/>
    </row>
    <row r="51" spans="1:6" x14ac:dyDescent="0.2">
      <c r="A51" s="3"/>
      <c r="B51" s="3"/>
      <c r="C51" s="3"/>
      <c r="D51" s="3"/>
      <c r="E51" s="3"/>
      <c r="F51" s="3"/>
    </row>
    <row r="52" spans="1:6" x14ac:dyDescent="0.2">
      <c r="A52" s="3"/>
      <c r="B52" s="3"/>
      <c r="C52" s="3"/>
      <c r="D52" s="3"/>
      <c r="E52" s="3"/>
      <c r="F52" s="3"/>
    </row>
    <row r="53" spans="1:6" x14ac:dyDescent="0.2">
      <c r="A53" s="3"/>
      <c r="B53" s="3"/>
      <c r="C53" s="3"/>
      <c r="D53" s="3"/>
      <c r="E53" s="3"/>
      <c r="F53" s="3"/>
    </row>
    <row r="54" spans="1:6" x14ac:dyDescent="0.2">
      <c r="A54" s="3"/>
      <c r="B54" s="3"/>
      <c r="C54" s="3"/>
      <c r="D54" s="3"/>
      <c r="E54" s="3"/>
      <c r="F54" s="3"/>
    </row>
    <row r="55" spans="1:6" x14ac:dyDescent="0.2">
      <c r="A55" s="3"/>
      <c r="B55" s="3"/>
      <c r="C55" s="3"/>
      <c r="D55" s="3"/>
      <c r="E55" s="3"/>
      <c r="F55" s="3"/>
    </row>
    <row r="56" spans="1:6" x14ac:dyDescent="0.2">
      <c r="A56" s="3"/>
      <c r="B56" s="3"/>
      <c r="C56" s="3"/>
      <c r="D56" s="3"/>
      <c r="E56" s="3"/>
      <c r="F56" s="3"/>
    </row>
    <row r="57" spans="1:6" x14ac:dyDescent="0.2">
      <c r="A57" s="3"/>
      <c r="B57" s="3"/>
      <c r="C57" s="3"/>
      <c r="D57" s="3"/>
      <c r="E57" s="3"/>
      <c r="F57" s="3"/>
    </row>
    <row r="58" spans="1:6" x14ac:dyDescent="0.2">
      <c r="A58" s="3"/>
      <c r="B58" s="3"/>
      <c r="C58" s="3"/>
      <c r="D58" s="3"/>
      <c r="E58" s="3"/>
      <c r="F58" s="3"/>
    </row>
    <row r="59" spans="1:6" x14ac:dyDescent="0.2">
      <c r="A59" s="3"/>
      <c r="B59" s="3"/>
      <c r="C59" s="3"/>
      <c r="D59" s="3"/>
      <c r="E59" s="3"/>
      <c r="F59" s="3"/>
    </row>
    <row r="60" spans="1:6" x14ac:dyDescent="0.2">
      <c r="A60" s="3"/>
      <c r="B60" s="3"/>
      <c r="C60" s="3"/>
      <c r="D60" s="3"/>
      <c r="E60" s="3"/>
      <c r="F60" s="3"/>
    </row>
    <row r="61" spans="1:6" x14ac:dyDescent="0.2">
      <c r="A61" s="3"/>
      <c r="B61" s="3"/>
      <c r="C61" s="3"/>
      <c r="D61" s="3"/>
      <c r="E61" s="3"/>
      <c r="F61" s="3"/>
    </row>
    <row r="62" spans="1:6" x14ac:dyDescent="0.2">
      <c r="A62" s="3"/>
      <c r="B62" s="3"/>
      <c r="C62" s="3"/>
      <c r="D62" s="3"/>
      <c r="E62" s="3"/>
      <c r="F62" s="3"/>
    </row>
    <row r="63" spans="1:6" x14ac:dyDescent="0.2">
      <c r="A63" s="3"/>
      <c r="B63" s="3"/>
      <c r="C63" s="3"/>
      <c r="D63" s="3"/>
      <c r="E63" s="3"/>
      <c r="F63" s="3"/>
    </row>
    <row r="64" spans="1:6" x14ac:dyDescent="0.2">
      <c r="A64" s="3"/>
      <c r="B64" s="3"/>
      <c r="C64" s="3"/>
      <c r="D64" s="3"/>
      <c r="E64" s="3"/>
      <c r="F64" s="3"/>
    </row>
    <row r="65" spans="1:6" x14ac:dyDescent="0.2">
      <c r="A65" s="3"/>
      <c r="B65" s="3"/>
      <c r="C65" s="3"/>
      <c r="D65" s="3"/>
      <c r="E65" s="3"/>
      <c r="F65" s="3"/>
    </row>
    <row r="66" spans="1:6" x14ac:dyDescent="0.2">
      <c r="A66" s="3"/>
      <c r="B66" s="3"/>
      <c r="C66" s="3"/>
      <c r="D66" s="3"/>
      <c r="E66" s="3"/>
      <c r="F66" s="3"/>
    </row>
    <row r="67" spans="1:6" x14ac:dyDescent="0.2">
      <c r="A67" s="3"/>
      <c r="B67" s="3"/>
      <c r="C67" s="3"/>
      <c r="D67" s="3"/>
      <c r="E67" s="3"/>
      <c r="F67" s="3"/>
    </row>
    <row r="68" spans="1:6" x14ac:dyDescent="0.2">
      <c r="A68" s="3"/>
      <c r="B68" s="3"/>
      <c r="C68" s="3"/>
      <c r="D68" s="3"/>
      <c r="E68" s="3"/>
      <c r="F68" s="3"/>
    </row>
    <row r="69" spans="1:6" x14ac:dyDescent="0.2">
      <c r="A69" s="3"/>
      <c r="B69" s="3"/>
      <c r="C69" s="3"/>
      <c r="D69" s="3"/>
      <c r="E69" s="3"/>
      <c r="F69" s="3"/>
    </row>
    <row r="70" spans="1:6" x14ac:dyDescent="0.2">
      <c r="A70" s="3"/>
      <c r="B70" s="3"/>
      <c r="C70" s="3"/>
      <c r="D70" s="3"/>
      <c r="E70" s="3"/>
      <c r="F70" s="3"/>
    </row>
    <row r="71" spans="1:6" x14ac:dyDescent="0.2">
      <c r="A71" s="3"/>
      <c r="B71" s="3"/>
      <c r="C71" s="3"/>
      <c r="D71" s="3"/>
      <c r="E71" s="3"/>
      <c r="F71" s="3"/>
    </row>
    <row r="72" spans="1:6" x14ac:dyDescent="0.2">
      <c r="A72" s="3"/>
      <c r="B72" s="3"/>
      <c r="C72" s="3"/>
      <c r="D72" s="3"/>
      <c r="E72" s="3"/>
      <c r="F72" s="3"/>
    </row>
    <row r="73" spans="1:6" ht="18" customHeight="1" x14ac:dyDescent="0.2">
      <c r="A73" s="4" t="s">
        <v>65</v>
      </c>
      <c r="B73" s="4"/>
      <c r="C73" s="4"/>
      <c r="D73" s="4"/>
      <c r="E73" s="4"/>
      <c r="F73" s="4"/>
    </row>
    <row r="74" spans="1:6" ht="30" customHeight="1" x14ac:dyDescent="0.2">
      <c r="A74" s="5" t="s">
        <v>66</v>
      </c>
      <c r="B74" s="5" t="s">
        <v>67</v>
      </c>
      <c r="C74" s="5" t="s">
        <v>68</v>
      </c>
      <c r="D74" s="3"/>
      <c r="E74" s="3"/>
      <c r="F74" s="3"/>
    </row>
    <row r="75" spans="1:6" ht="15" customHeight="1" x14ac:dyDescent="0.2">
      <c r="A75" s="20" t="s">
        <v>69</v>
      </c>
      <c r="B75" s="21">
        <f>B6*B7</f>
        <v>2712500</v>
      </c>
      <c r="C75" s="22" t="s">
        <v>70</v>
      </c>
      <c r="D75" s="3"/>
      <c r="E75" s="3"/>
      <c r="F75" s="3"/>
    </row>
    <row r="76" spans="1:6" ht="15" customHeight="1" x14ac:dyDescent="0.2">
      <c r="A76" s="20" t="s">
        <v>71</v>
      </c>
      <c r="B76" s="21">
        <f>B21</f>
        <v>2695000</v>
      </c>
      <c r="C76" s="22" t="s">
        <v>72</v>
      </c>
      <c r="D76" s="3"/>
      <c r="E76" s="3"/>
      <c r="F76" s="3"/>
    </row>
    <row r="77" spans="1:6" ht="15" customHeight="1" x14ac:dyDescent="0.2">
      <c r="A77" s="20" t="s">
        <v>73</v>
      </c>
      <c r="B77" s="21">
        <f>B28</f>
        <v>2724600.371747212</v>
      </c>
      <c r="C77" s="22" t="s">
        <v>74</v>
      </c>
      <c r="D77" s="3"/>
      <c r="E77" s="3"/>
      <c r="F77" s="3"/>
    </row>
    <row r="78" spans="1:6" ht="15" customHeight="1" x14ac:dyDescent="0.2">
      <c r="A78" s="20" t="s">
        <v>75</v>
      </c>
      <c r="B78" s="21">
        <f>B35</f>
        <v>2660000</v>
      </c>
      <c r="C78" s="22" t="s">
        <v>76</v>
      </c>
      <c r="D78" s="3"/>
      <c r="E78" s="3"/>
      <c r="F78" s="3"/>
    </row>
    <row r="79" spans="1:6" ht="15" customHeight="1" x14ac:dyDescent="0.2">
      <c r="A79" s="20" t="s">
        <v>77</v>
      </c>
      <c r="B79" s="23" t="s">
        <v>78</v>
      </c>
      <c r="C79" s="22" t="s">
        <v>79</v>
      </c>
      <c r="D79" s="3"/>
      <c r="E79" s="3"/>
      <c r="F79" s="3"/>
    </row>
    <row r="80" spans="1:6" x14ac:dyDescent="0.2">
      <c r="A80" s="3"/>
      <c r="B80" s="3"/>
      <c r="C80" s="3"/>
      <c r="D80" s="3"/>
      <c r="E80" s="3"/>
      <c r="F80" s="3"/>
    </row>
    <row r="81" spans="1:6" x14ac:dyDescent="0.2">
      <c r="A81" s="3"/>
      <c r="B81" s="3"/>
      <c r="C81" s="3"/>
      <c r="D81" s="3"/>
      <c r="E81" s="3"/>
      <c r="F81" s="3"/>
    </row>
  </sheetData>
  <mergeCells count="8">
    <mergeCell ref="A31:F31"/>
    <mergeCell ref="A37:F37"/>
    <mergeCell ref="A73:F73"/>
    <mergeCell ref="A1:F1"/>
    <mergeCell ref="A2:F2"/>
    <mergeCell ref="A4:F4"/>
    <mergeCell ref="A19:F19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zoomScaleNormal="100" workbookViewId="0">
      <selection activeCell="C4" sqref="C4"/>
    </sheetView>
  </sheetViews>
  <sheetFormatPr baseColWidth="10" defaultColWidth="8.6640625" defaultRowHeight="15" x14ac:dyDescent="0.2"/>
  <cols>
    <col min="1" max="1" width="28" customWidth="1"/>
    <col min="2" max="2" width="60" customWidth="1"/>
  </cols>
  <sheetData>
    <row r="1" spans="1:2" ht="24" customHeight="1" x14ac:dyDescent="0.2">
      <c r="A1" s="24" t="s">
        <v>80</v>
      </c>
      <c r="B1" s="24"/>
    </row>
    <row r="2" spans="1:2" ht="15.75" customHeight="1" x14ac:dyDescent="0.2">
      <c r="A2" s="25" t="s">
        <v>81</v>
      </c>
      <c r="B2" s="25"/>
    </row>
    <row r="3" spans="1:2" ht="15.75" customHeight="1" x14ac:dyDescent="0.2">
      <c r="A3" s="26" t="s">
        <v>82</v>
      </c>
      <c r="B3" s="27" t="s">
        <v>83</v>
      </c>
    </row>
    <row r="4" spans="1:2" ht="15.75" customHeight="1" x14ac:dyDescent="0.2">
      <c r="A4" s="26" t="s">
        <v>84</v>
      </c>
      <c r="B4" s="27" t="s">
        <v>85</v>
      </c>
    </row>
    <row r="5" spans="1:2" ht="15.75" customHeight="1" x14ac:dyDescent="0.2">
      <c r="A5" s="26" t="s">
        <v>86</v>
      </c>
      <c r="B5" s="27" t="s">
        <v>87</v>
      </c>
    </row>
    <row r="6" spans="1:2" ht="15.75" customHeight="1" x14ac:dyDescent="0.2">
      <c r="A6" s="26" t="s">
        <v>88</v>
      </c>
      <c r="B6" s="27" t="s">
        <v>89</v>
      </c>
    </row>
    <row r="7" spans="1:2" ht="15.75" customHeight="1" x14ac:dyDescent="0.2">
      <c r="A7" s="26" t="s">
        <v>90</v>
      </c>
      <c r="B7" s="27" t="s">
        <v>91</v>
      </c>
    </row>
    <row r="8" spans="1:2" ht="15.75" customHeight="1" x14ac:dyDescent="0.2">
      <c r="A8" s="26"/>
      <c r="B8" s="27"/>
    </row>
    <row r="9" spans="1:2" ht="15.75" customHeight="1" x14ac:dyDescent="0.2">
      <c r="A9" s="25" t="s">
        <v>92</v>
      </c>
      <c r="B9" s="25"/>
    </row>
    <row r="10" spans="1:2" ht="15.75" customHeight="1" x14ac:dyDescent="0.2">
      <c r="A10" s="26" t="s">
        <v>93</v>
      </c>
      <c r="B10" s="27" t="s">
        <v>94</v>
      </c>
    </row>
    <row r="11" spans="1:2" ht="15.75" customHeight="1" x14ac:dyDescent="0.2">
      <c r="A11" s="26" t="s">
        <v>95</v>
      </c>
      <c r="B11" s="27" t="s">
        <v>96</v>
      </c>
    </row>
    <row r="12" spans="1:2" ht="15.75" customHeight="1" x14ac:dyDescent="0.2">
      <c r="A12" s="26" t="s">
        <v>97</v>
      </c>
      <c r="B12" s="27" t="s">
        <v>98</v>
      </c>
    </row>
    <row r="13" spans="1:2" ht="15.75" customHeight="1" x14ac:dyDescent="0.2">
      <c r="A13" s="26" t="s">
        <v>99</v>
      </c>
      <c r="B13" s="27" t="s">
        <v>100</v>
      </c>
    </row>
    <row r="14" spans="1:2" ht="15.75" customHeight="1" x14ac:dyDescent="0.2">
      <c r="A14" s="26" t="s">
        <v>101</v>
      </c>
      <c r="B14" s="27" t="s">
        <v>102</v>
      </c>
    </row>
    <row r="15" spans="1:2" ht="15.75" customHeight="1" x14ac:dyDescent="0.2">
      <c r="A15" s="26" t="s">
        <v>103</v>
      </c>
      <c r="B15" s="27" t="s">
        <v>104</v>
      </c>
    </row>
    <row r="16" spans="1:2" ht="15.75" customHeight="1" x14ac:dyDescent="0.2">
      <c r="A16" s="26" t="s">
        <v>105</v>
      </c>
      <c r="B16" s="27" t="s">
        <v>106</v>
      </c>
    </row>
    <row r="17" spans="1:2" ht="15.75" customHeight="1" x14ac:dyDescent="0.2">
      <c r="A17" s="26" t="s">
        <v>107</v>
      </c>
      <c r="B17" s="27" t="s">
        <v>108</v>
      </c>
    </row>
    <row r="18" spans="1:2" ht="15.75" customHeight="1" x14ac:dyDescent="0.2">
      <c r="A18" s="26" t="s">
        <v>109</v>
      </c>
      <c r="B18" s="27" t="s">
        <v>110</v>
      </c>
    </row>
    <row r="19" spans="1:2" ht="15.75" customHeight="1" x14ac:dyDescent="0.2">
      <c r="A19" s="26" t="s">
        <v>111</v>
      </c>
      <c r="B19" s="27" t="s">
        <v>112</v>
      </c>
    </row>
    <row r="20" spans="1:2" ht="15.75" customHeight="1" x14ac:dyDescent="0.2">
      <c r="A20" s="26" t="s">
        <v>113</v>
      </c>
      <c r="B20" s="27" t="s">
        <v>114</v>
      </c>
    </row>
    <row r="21" spans="1:2" ht="15.75" customHeight="1" x14ac:dyDescent="0.2">
      <c r="A21" s="26" t="s">
        <v>115</v>
      </c>
      <c r="B21" s="27" t="s">
        <v>116</v>
      </c>
    </row>
    <row r="22" spans="1:2" ht="15.75" customHeight="1" x14ac:dyDescent="0.2">
      <c r="A22" s="26" t="s">
        <v>117</v>
      </c>
      <c r="B22" s="27" t="s">
        <v>118</v>
      </c>
    </row>
    <row r="23" spans="1:2" ht="15.75" customHeight="1" x14ac:dyDescent="0.2">
      <c r="A23" s="26" t="s">
        <v>119</v>
      </c>
      <c r="B23" s="27" t="s">
        <v>120</v>
      </c>
    </row>
    <row r="24" spans="1:2" ht="15.75" customHeight="1" x14ac:dyDescent="0.2">
      <c r="A24" s="26" t="s">
        <v>121</v>
      </c>
      <c r="B24" s="27" t="s">
        <v>122</v>
      </c>
    </row>
    <row r="25" spans="1:2" ht="15.75" customHeight="1" x14ac:dyDescent="0.2">
      <c r="A25" s="26" t="s">
        <v>123</v>
      </c>
      <c r="B25" s="27" t="s">
        <v>124</v>
      </c>
    </row>
    <row r="26" spans="1:2" ht="15.75" customHeight="1" x14ac:dyDescent="0.2">
      <c r="A26" s="26"/>
      <c r="B26" s="27"/>
    </row>
    <row r="27" spans="1:2" ht="15.75" customHeight="1" x14ac:dyDescent="0.2">
      <c r="A27" s="25" t="s">
        <v>125</v>
      </c>
      <c r="B27" s="25"/>
    </row>
    <row r="28" spans="1:2" ht="15.75" customHeight="1" x14ac:dyDescent="0.2">
      <c r="A28" s="26" t="s">
        <v>126</v>
      </c>
      <c r="B28" s="27" t="s">
        <v>127</v>
      </c>
    </row>
    <row r="29" spans="1:2" ht="15.75" customHeight="1" x14ac:dyDescent="0.2">
      <c r="A29" s="26" t="s">
        <v>128</v>
      </c>
      <c r="B29" s="27" t="s">
        <v>129</v>
      </c>
    </row>
    <row r="30" spans="1:2" ht="15.75" customHeight="1" x14ac:dyDescent="0.2">
      <c r="A30" s="26" t="s">
        <v>130</v>
      </c>
      <c r="B30" s="27" t="s">
        <v>131</v>
      </c>
    </row>
    <row r="31" spans="1:2" ht="15.75" customHeight="1" x14ac:dyDescent="0.2">
      <c r="A31" s="26"/>
      <c r="B31" s="27"/>
    </row>
    <row r="32" spans="1:2" ht="15.75" customHeight="1" x14ac:dyDescent="0.2">
      <c r="A32" s="25" t="s">
        <v>132</v>
      </c>
      <c r="B32" s="25"/>
    </row>
    <row r="33" spans="1:2" ht="15.75" customHeight="1" x14ac:dyDescent="0.2">
      <c r="A33" s="26" t="s">
        <v>133</v>
      </c>
      <c r="B33" s="27" t="s">
        <v>134</v>
      </c>
    </row>
    <row r="34" spans="1:2" ht="15.75" customHeight="1" x14ac:dyDescent="0.2">
      <c r="A34" s="26" t="s">
        <v>135</v>
      </c>
      <c r="B34" s="27" t="s">
        <v>136</v>
      </c>
    </row>
    <row r="35" spans="1:2" ht="15.75" customHeight="1" x14ac:dyDescent="0.2">
      <c r="A35" s="26"/>
      <c r="B35" s="27"/>
    </row>
    <row r="36" spans="1:2" ht="15.75" customHeight="1" x14ac:dyDescent="0.2">
      <c r="A36" s="25" t="s">
        <v>137</v>
      </c>
      <c r="B36" s="25"/>
    </row>
    <row r="37" spans="1:2" ht="15.75" customHeight="1" x14ac:dyDescent="0.2">
      <c r="A37" s="26" t="s">
        <v>138</v>
      </c>
      <c r="B37" s="27" t="s">
        <v>139</v>
      </c>
    </row>
    <row r="38" spans="1:2" ht="15.75" customHeight="1" x14ac:dyDescent="0.2">
      <c r="A38" s="26" t="s">
        <v>140</v>
      </c>
      <c r="B38" s="27" t="s">
        <v>141</v>
      </c>
    </row>
    <row r="39" spans="1:2" ht="15.75" customHeight="1" x14ac:dyDescent="0.2">
      <c r="A39" s="26" t="s">
        <v>142</v>
      </c>
      <c r="B39" s="27" t="s">
        <v>143</v>
      </c>
    </row>
    <row r="40" spans="1:2" x14ac:dyDescent="0.2">
      <c r="A40" s="3"/>
      <c r="B40" s="3"/>
    </row>
    <row r="41" spans="1:2" x14ac:dyDescent="0.2">
      <c r="A41" s="3"/>
      <c r="B41" s="3"/>
    </row>
  </sheetData>
  <mergeCells count="6">
    <mergeCell ref="A36:B36"/>
    <mergeCell ref="A1:B1"/>
    <mergeCell ref="A2:B2"/>
    <mergeCell ref="A9:B9"/>
    <mergeCell ref="A27:B27"/>
    <mergeCell ref="A32:B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FX Hedge Model</vt:lpstr>
      <vt:lpstr>Notes &amp; Assumptions</vt:lpstr>
      <vt:lpstr>F0_in</vt:lpstr>
      <vt:lpstr>FC_AMT</vt:lpstr>
      <vt:lpstr>K_CALL</vt:lpstr>
      <vt:lpstr>K_PUT</vt:lpstr>
      <vt:lpstr>PREM_CALL</vt:lpstr>
      <vt:lpstr>PREM_PUT</vt:lpstr>
      <vt:lpstr>R_FC</vt:lpstr>
      <vt:lpstr>R_USD</vt:lpstr>
      <vt:lpstr>S0_in</vt:lpstr>
      <vt:lpstr>T_DAYS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Ellie Hanohano</cp:lastModifiedBy>
  <cp:revision>2</cp:revision>
  <dcterms:created xsi:type="dcterms:W3CDTF">2026-03-30T23:34:33Z</dcterms:created>
  <dcterms:modified xsi:type="dcterms:W3CDTF">2026-03-30T23:49:26Z</dcterms:modified>
  <dc:language>en-US</dc:language>
</cp:coreProperties>
</file>